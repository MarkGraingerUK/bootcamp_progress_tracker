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ai\Documents\Leep\"/>
    </mc:Choice>
  </mc:AlternateContent>
  <xr:revisionPtr revIDLastSave="0" documentId="8_{E8D045E0-CDAF-49E1-9DA9-D86B804737A7}" xr6:coauthVersionLast="47" xr6:coauthVersionMax="47" xr10:uidLastSave="{00000000-0000-0000-0000-000000000000}"/>
  <bookViews>
    <workbookView xWindow="-120" yWindow="-120" windowWidth="29040" windowHeight="15720" xr2:uid="{13987FD2-2059-49C6-8C05-8E9FD9733326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1" l="1"/>
  <c r="G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B24" i="1"/>
  <c r="B23" i="1"/>
  <c r="B22" i="1"/>
  <c r="B21" i="1"/>
  <c r="B20" i="1"/>
  <c r="B19" i="1"/>
  <c r="B18" i="1"/>
  <c r="B17" i="1" l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<sst xmlns="http://schemas.openxmlformats.org/spreadsheetml/2006/main" count="53" uniqueCount="37">
  <si>
    <t>Date</t>
  </si>
  <si>
    <t>Week</t>
  </si>
  <si>
    <t>Subject</t>
  </si>
  <si>
    <t>Title</t>
  </si>
  <si>
    <t>Question Count</t>
  </si>
  <si>
    <t>Data</t>
  </si>
  <si>
    <t>Correct Answers</t>
  </si>
  <si>
    <t>Introduction To Data</t>
  </si>
  <si>
    <t>Data Structure</t>
  </si>
  <si>
    <t>Excel</t>
  </si>
  <si>
    <t>Basic Excel</t>
  </si>
  <si>
    <t>Excel Formulas</t>
  </si>
  <si>
    <t>Pivot Tables &amp; Macros</t>
  </si>
  <si>
    <t>Final Excel</t>
  </si>
  <si>
    <t>Tableau</t>
  </si>
  <si>
    <t>Power BI</t>
  </si>
  <si>
    <t>Get Data In Power BI</t>
  </si>
  <si>
    <t>Clean, Transfor, And Load Data In Power BI</t>
  </si>
  <si>
    <t>Design Power BI Reports</t>
  </si>
  <si>
    <t>Create Dashboards In Power BI</t>
  </si>
  <si>
    <t>SQL</t>
  </si>
  <si>
    <t>What is a database</t>
  </si>
  <si>
    <t>SQL 2</t>
  </si>
  <si>
    <t>SQL 1</t>
  </si>
  <si>
    <t>SQL 3</t>
  </si>
  <si>
    <t>SQL 4</t>
  </si>
  <si>
    <t>Protection Acts</t>
  </si>
  <si>
    <t>Azure</t>
  </si>
  <si>
    <t>Data Storage</t>
  </si>
  <si>
    <t>Acts</t>
  </si>
  <si>
    <t>Python</t>
  </si>
  <si>
    <t>Python 1</t>
  </si>
  <si>
    <t>Python 2</t>
  </si>
  <si>
    <t>Python 3</t>
  </si>
  <si>
    <t>Github</t>
  </si>
  <si>
    <t>Github 1</t>
  </si>
  <si>
    <t>Percentage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</si>
</sst>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9" fontId="1" fillId="0" borderId="0" xfId="1" applyFont="1" applyAlignment="1">
      <alignment horizontal="left" vertical="center"/>
    </xf>
    <xf numFmtId="2" fontId="1" fillId="0" borderId="0" xfId="1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797E0-3FC5-4304-90F2-4EC2B1F8D5BB}" name="tbl_QuizScores" displayName="tbl_QuizScores" ref="A1:G25" totalsRowShown="0" headerRowDxfId="8" dataDxfId="7">
  <autoFilter ref="A1:G25" xr:uid="{045797E0-3FC5-4304-90F2-4EC2B1F8D5BB}"/>
  <tableColumns count="7">
    <tableColumn id="1" xr3:uid="{90B1CEA5-C072-463C-8B57-F66FBE295667}" name="Date" dataDxfId="6"/>
    <tableColumn id="2" xr3:uid="{BE2450BE-9C5E-4FC8-AFB8-53AECF32D29A}" name="Week" dataDxfId="5">
      <calculatedColumnFormula>IF(A2="","",WEEKNUM(A2)-23)</calculatedColumnFormula>
    </tableColumn>
    <tableColumn id="3" xr3:uid="{E4ACC100-73C5-4840-BC5B-D66037DEC68F}" name="Subject" dataDxfId="4"/>
    <tableColumn id="4" xr3:uid="{DA4ED03B-F2BE-4745-B211-8CAF3BDD1FD8}" name="Title" dataDxfId="3"/>
    <tableColumn id="5" xr3:uid="{616867CF-8AFC-4796-A8AD-F6AFA2F98D82}" name="Question Count" dataDxfId="2"/>
    <tableColumn id="6" xr3:uid="{86C5AC18-2AF2-441F-9494-266DBFCD4370}" name="Correct Answers" dataDxfId="1"/>
    <tableColumn id="7" xr3:uid="{37539BDB-EDDB-45F9-A43E-F23ECC2A6506}" name="Percentage Correct" dataDxfId="0">
      <calculatedColumnFormula>tbl_QuizScores[[#This Row],[Correct Answers]]/tbl_QuizScores[[#This Row],[Question Count]]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A5CF-2F5F-418C-B9D5-4858120BC1FE}">
  <dimension ref="A1:M25"/>
  <sheetViews>
    <sheetView tabSelected="1" workbookViewId="0">
      <selection activeCell="J12" sqref="J12"/>
    </sheetView>
  </sheetViews>
  <sheetFormatPr defaultColWidth="17.7109375" defaultRowHeight="20.100000000000001" customHeight="1" x14ac:dyDescent="0.25"/>
  <cols>
    <col min="1" max="1" width="13.5703125" style="1" customWidth="1"/>
    <col min="2" max="2" width="9.7109375" style="2" customWidth="1"/>
    <col min="3" max="3" width="16.28515625" style="2" customWidth="1"/>
    <col min="4" max="4" width="50.28515625" style="2" customWidth="1"/>
    <col min="5" max="6" width="16.7109375" style="2" customWidth="1"/>
    <col min="7" max="16384" width="17.7109375" style="2"/>
  </cols>
  <sheetData>
    <row r="1" spans="1:13" ht="55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6</v>
      </c>
      <c r="G1" s="4" t="s">
        <v>36</v>
      </c>
      <c r="H1" s="4"/>
      <c r="I1" s="4"/>
      <c r="J1" s="4"/>
    </row>
    <row r="2" spans="1:13" ht="20.100000000000001" customHeight="1" x14ac:dyDescent="0.25">
      <c r="A2" s="1">
        <v>46181</v>
      </c>
      <c r="B2" s="3">
        <f t="shared" ref="B2:B14" si="0">IF(A2="","",WEEKNUM(A2)-23)</f>
        <v>1</v>
      </c>
      <c r="C2" s="2" t="s">
        <v>5</v>
      </c>
      <c r="D2" s="2" t="s">
        <v>7</v>
      </c>
      <c r="E2" s="2">
        <v>5</v>
      </c>
      <c r="F2" s="2">
        <v>2</v>
      </c>
      <c r="G2" s="5">
        <f>tbl_QuizScores[[#This Row],[Correct Answers]]/tbl_QuizScores[[#This Row],[Question Count]]</f>
        <v>0.4</v>
      </c>
    </row>
    <row r="3" spans="1:13" ht="20.100000000000001" customHeight="1" x14ac:dyDescent="0.25">
      <c r="A3" s="1">
        <v>46182</v>
      </c>
      <c r="B3" s="3">
        <f t="shared" si="0"/>
        <v>1</v>
      </c>
      <c r="C3" s="2" t="s">
        <v>5</v>
      </c>
      <c r="D3" s="2" t="s">
        <v>8</v>
      </c>
      <c r="E3" s="2">
        <v>10</v>
      </c>
      <c r="F3" s="2">
        <v>8</v>
      </c>
      <c r="G3" s="5">
        <f>tbl_QuizScores[[#This Row],[Correct Answers]]/tbl_QuizScores[[#This Row],[Question Count]]</f>
        <v>0.8</v>
      </c>
    </row>
    <row r="4" spans="1:13" ht="20.100000000000001" customHeight="1" x14ac:dyDescent="0.25">
      <c r="A4" s="1">
        <v>46182</v>
      </c>
      <c r="B4" s="3">
        <f t="shared" si="0"/>
        <v>1</v>
      </c>
      <c r="C4" s="2" t="s">
        <v>9</v>
      </c>
      <c r="D4" s="2" t="s">
        <v>10</v>
      </c>
      <c r="E4" s="2">
        <v>10</v>
      </c>
      <c r="F4" s="2">
        <v>10</v>
      </c>
      <c r="G4" s="5">
        <f>tbl_QuizScores[[#This Row],[Correct Answers]]/tbl_QuizScores[[#This Row],[Question Count]]</f>
        <v>1</v>
      </c>
    </row>
    <row r="5" spans="1:13" ht="20.100000000000001" customHeight="1" x14ac:dyDescent="0.25">
      <c r="A5" s="1">
        <v>46183</v>
      </c>
      <c r="B5" s="3">
        <f t="shared" si="0"/>
        <v>1</v>
      </c>
      <c r="C5" s="2" t="s">
        <v>9</v>
      </c>
      <c r="D5" s="2" t="s">
        <v>11</v>
      </c>
      <c r="E5" s="2">
        <v>10</v>
      </c>
      <c r="F5" s="2">
        <v>10</v>
      </c>
      <c r="G5" s="5">
        <f>tbl_QuizScores[[#This Row],[Correct Answers]]/tbl_QuizScores[[#This Row],[Question Count]]</f>
        <v>1</v>
      </c>
    </row>
    <row r="6" spans="1:13" ht="20.100000000000001" customHeight="1" x14ac:dyDescent="0.25">
      <c r="A6" s="1">
        <v>46184</v>
      </c>
      <c r="B6" s="3">
        <f t="shared" si="0"/>
        <v>1</v>
      </c>
      <c r="C6" s="2" t="s">
        <v>9</v>
      </c>
      <c r="D6" s="2" t="s">
        <v>12</v>
      </c>
      <c r="E6" s="2">
        <v>10</v>
      </c>
      <c r="F6" s="2">
        <v>9</v>
      </c>
      <c r="G6" s="5">
        <f>tbl_QuizScores[[#This Row],[Correct Answers]]/tbl_QuizScores[[#This Row],[Question Count]]</f>
        <v>0.9</v>
      </c>
      <c r="K6" s="8"/>
      <c r="L6" s="8"/>
      <c r="M6" s="6"/>
    </row>
    <row r="7" spans="1:13" ht="20.100000000000001" customHeight="1" x14ac:dyDescent="0.25">
      <c r="A7" s="1">
        <v>46184</v>
      </c>
      <c r="B7" s="3">
        <f t="shared" si="0"/>
        <v>1</v>
      </c>
      <c r="C7" s="2" t="s">
        <v>9</v>
      </c>
      <c r="D7" s="2" t="s">
        <v>13</v>
      </c>
      <c r="E7" s="2">
        <v>10</v>
      </c>
      <c r="F7" s="2">
        <v>9</v>
      </c>
      <c r="G7" s="5">
        <f>tbl_QuizScores[[#This Row],[Correct Answers]]/tbl_QuizScores[[#This Row],[Question Count]]</f>
        <v>0.9</v>
      </c>
    </row>
    <row r="8" spans="1:13" ht="20.100000000000001" customHeight="1" x14ac:dyDescent="0.25">
      <c r="A8" s="1">
        <v>46188</v>
      </c>
      <c r="B8" s="3">
        <f t="shared" si="0"/>
        <v>2</v>
      </c>
      <c r="C8" s="2" t="s">
        <v>14</v>
      </c>
      <c r="D8" s="2" t="s">
        <v>14</v>
      </c>
      <c r="E8" s="2">
        <v>10</v>
      </c>
      <c r="F8" s="2">
        <v>10</v>
      </c>
      <c r="G8" s="5">
        <f>tbl_QuizScores[[#This Row],[Correct Answers]]/tbl_QuizScores[[#This Row],[Question Count]]</f>
        <v>1</v>
      </c>
    </row>
    <row r="9" spans="1:13" ht="20.100000000000001" customHeight="1" x14ac:dyDescent="0.25">
      <c r="A9" s="1">
        <v>46191</v>
      </c>
      <c r="B9" s="3">
        <f t="shared" si="0"/>
        <v>2</v>
      </c>
      <c r="C9" s="2" t="s">
        <v>15</v>
      </c>
      <c r="D9" s="2" t="s">
        <v>15</v>
      </c>
      <c r="E9" s="2">
        <v>10</v>
      </c>
      <c r="F9" s="2">
        <v>10</v>
      </c>
      <c r="G9" s="5">
        <f>tbl_QuizScores[[#This Row],[Correct Answers]]/tbl_QuizScores[[#This Row],[Question Count]]</f>
        <v>1</v>
      </c>
    </row>
    <row r="10" spans="1:13" ht="20.100000000000001" customHeight="1" x14ac:dyDescent="0.25">
      <c r="A10" s="1">
        <v>46191</v>
      </c>
      <c r="B10" s="3">
        <f t="shared" si="0"/>
        <v>2</v>
      </c>
      <c r="C10" s="2" t="s">
        <v>15</v>
      </c>
      <c r="D10" s="2" t="s">
        <v>16</v>
      </c>
      <c r="E10" s="2">
        <v>10</v>
      </c>
      <c r="F10" s="2">
        <v>10</v>
      </c>
      <c r="G10" s="5">
        <f>tbl_QuizScores[[#This Row],[Correct Answers]]/tbl_QuizScores[[#This Row],[Question Count]]</f>
        <v>1</v>
      </c>
    </row>
    <row r="11" spans="1:13" ht="20.100000000000001" customHeight="1" x14ac:dyDescent="0.25">
      <c r="A11" s="1">
        <v>46191</v>
      </c>
      <c r="B11" s="3">
        <f t="shared" si="0"/>
        <v>2</v>
      </c>
      <c r="C11" s="2" t="s">
        <v>15</v>
      </c>
      <c r="D11" s="2" t="s">
        <v>17</v>
      </c>
      <c r="E11" s="2">
        <v>10</v>
      </c>
      <c r="F11" s="2">
        <v>10</v>
      </c>
      <c r="G11" s="5">
        <f>tbl_QuizScores[[#This Row],[Correct Answers]]/tbl_QuizScores[[#This Row],[Question Count]]</f>
        <v>1</v>
      </c>
    </row>
    <row r="12" spans="1:13" ht="20.100000000000001" customHeight="1" x14ac:dyDescent="0.25">
      <c r="A12" s="1">
        <v>46191</v>
      </c>
      <c r="B12" s="3">
        <f t="shared" si="0"/>
        <v>2</v>
      </c>
      <c r="C12" s="2" t="s">
        <v>15</v>
      </c>
      <c r="D12" s="2" t="s">
        <v>18</v>
      </c>
      <c r="E12" s="2">
        <v>10</v>
      </c>
      <c r="F12" s="2">
        <v>10</v>
      </c>
      <c r="G12" s="5">
        <f>tbl_QuizScores[[#This Row],[Correct Answers]]/tbl_QuizScores[[#This Row],[Question Count]]</f>
        <v>1</v>
      </c>
    </row>
    <row r="13" spans="1:13" ht="20.100000000000001" customHeight="1" x14ac:dyDescent="0.25">
      <c r="A13" s="1">
        <v>46191</v>
      </c>
      <c r="B13" s="3">
        <f t="shared" si="0"/>
        <v>2</v>
      </c>
      <c r="C13" s="2" t="s">
        <v>15</v>
      </c>
      <c r="D13" s="2" t="s">
        <v>19</v>
      </c>
      <c r="E13" s="2">
        <v>10</v>
      </c>
      <c r="F13" s="2">
        <v>10</v>
      </c>
      <c r="G13" s="5">
        <f>tbl_QuizScores[[#This Row],[Correct Answers]]/tbl_QuizScores[[#This Row],[Question Count]]</f>
        <v>1</v>
      </c>
    </row>
    <row r="14" spans="1:13" ht="20.100000000000001" customHeight="1" x14ac:dyDescent="0.25">
      <c r="A14" s="1">
        <v>46195</v>
      </c>
      <c r="B14" s="3">
        <f t="shared" si="0"/>
        <v>3</v>
      </c>
      <c r="C14" s="2" t="s">
        <v>20</v>
      </c>
      <c r="D14" s="2" t="s">
        <v>21</v>
      </c>
      <c r="E14" s="2">
        <v>8</v>
      </c>
      <c r="F14" s="2">
        <v>8</v>
      </c>
      <c r="G14" s="5">
        <f>tbl_QuizScores[[#This Row],[Correct Answers]]/tbl_QuizScores[[#This Row],[Question Count]]</f>
        <v>1</v>
      </c>
    </row>
    <row r="15" spans="1:13" ht="20.100000000000001" customHeight="1" x14ac:dyDescent="0.25">
      <c r="A15" s="1">
        <v>46196</v>
      </c>
      <c r="B15" s="3">
        <f t="shared" ref="B15:B21" si="1">IF(A15="","",WEEKNUM(A15)-23)</f>
        <v>3</v>
      </c>
      <c r="C15" s="2" t="s">
        <v>20</v>
      </c>
      <c r="D15" s="2" t="s">
        <v>23</v>
      </c>
      <c r="E15" s="2">
        <v>7</v>
      </c>
      <c r="F15" s="2">
        <v>7</v>
      </c>
      <c r="G15" s="5">
        <f>tbl_QuizScores[[#This Row],[Correct Answers]]/tbl_QuizScores[[#This Row],[Question Count]]</f>
        <v>1</v>
      </c>
    </row>
    <row r="16" spans="1:13" ht="20.100000000000001" customHeight="1" x14ac:dyDescent="0.25">
      <c r="A16" s="1">
        <v>46196</v>
      </c>
      <c r="B16" s="3">
        <f t="shared" si="1"/>
        <v>3</v>
      </c>
      <c r="C16" s="2" t="s">
        <v>20</v>
      </c>
      <c r="D16" s="2" t="s">
        <v>22</v>
      </c>
      <c r="E16" s="2">
        <v>10</v>
      </c>
      <c r="F16" s="2">
        <v>10</v>
      </c>
      <c r="G16" s="5">
        <f>tbl_QuizScores[[#This Row],[Correct Answers]]/tbl_QuizScores[[#This Row],[Question Count]]</f>
        <v>1</v>
      </c>
    </row>
    <row r="17" spans="1:7" ht="20.100000000000001" customHeight="1" x14ac:dyDescent="0.25">
      <c r="A17" s="1">
        <v>46196</v>
      </c>
      <c r="B17" s="3">
        <f t="shared" si="1"/>
        <v>3</v>
      </c>
      <c r="C17" s="2" t="s">
        <v>20</v>
      </c>
      <c r="D17" s="2" t="s">
        <v>24</v>
      </c>
      <c r="E17" s="2">
        <v>15</v>
      </c>
      <c r="F17" s="2">
        <v>15</v>
      </c>
      <c r="G17" s="5">
        <f>tbl_QuizScores[[#This Row],[Correct Answers]]/tbl_QuizScores[[#This Row],[Question Count]]</f>
        <v>1</v>
      </c>
    </row>
    <row r="18" spans="1:7" ht="20.100000000000001" customHeight="1" x14ac:dyDescent="0.25">
      <c r="A18" s="1">
        <v>46197</v>
      </c>
      <c r="B18" s="3">
        <f t="shared" si="1"/>
        <v>3</v>
      </c>
      <c r="C18" s="2" t="s">
        <v>20</v>
      </c>
      <c r="D18" s="2" t="s">
        <v>25</v>
      </c>
      <c r="E18" s="2">
        <v>15</v>
      </c>
      <c r="F18" s="2">
        <v>12</v>
      </c>
      <c r="G18" s="5">
        <f>tbl_QuizScores[[#This Row],[Correct Answers]]/tbl_QuizScores[[#This Row],[Question Count]]</f>
        <v>0.8</v>
      </c>
    </row>
    <row r="19" spans="1:7" ht="20.100000000000001" customHeight="1" x14ac:dyDescent="0.25">
      <c r="A19" s="1">
        <v>46210</v>
      </c>
      <c r="B19" s="3">
        <f t="shared" si="1"/>
        <v>5</v>
      </c>
      <c r="C19" s="2" t="s">
        <v>29</v>
      </c>
      <c r="D19" s="2" t="s">
        <v>26</v>
      </c>
      <c r="E19" s="2">
        <v>7</v>
      </c>
      <c r="F19" s="2">
        <v>6</v>
      </c>
      <c r="G19" s="5">
        <f>tbl_QuizScores[[#This Row],[Correct Answers]]/tbl_QuizScores[[#This Row],[Question Count]]</f>
        <v>0.8571428571428571</v>
      </c>
    </row>
    <row r="20" spans="1:7" ht="20.100000000000001" customHeight="1" x14ac:dyDescent="0.25">
      <c r="A20" s="1">
        <v>46210</v>
      </c>
      <c r="B20" s="3">
        <f t="shared" si="1"/>
        <v>5</v>
      </c>
      <c r="C20" s="2" t="s">
        <v>27</v>
      </c>
      <c r="D20" s="2" t="s">
        <v>28</v>
      </c>
      <c r="E20" s="2">
        <v>5</v>
      </c>
      <c r="F20" s="2">
        <v>5</v>
      </c>
      <c r="G20" s="5">
        <f>tbl_QuizScores[[#This Row],[Correct Answers]]/tbl_QuizScores[[#This Row],[Question Count]]</f>
        <v>1</v>
      </c>
    </row>
    <row r="21" spans="1:7" ht="20.100000000000001" customHeight="1" x14ac:dyDescent="0.25">
      <c r="A21" s="1">
        <v>46218</v>
      </c>
      <c r="B21" s="3">
        <f t="shared" si="1"/>
        <v>6</v>
      </c>
      <c r="C21" s="2" t="s">
        <v>30</v>
      </c>
      <c r="D21" s="2" t="s">
        <v>31</v>
      </c>
      <c r="E21" s="2">
        <v>4</v>
      </c>
      <c r="F21" s="2">
        <v>4</v>
      </c>
      <c r="G21" s="5">
        <f>tbl_QuizScores[[#This Row],[Correct Answers]]/tbl_QuizScores[[#This Row],[Question Count]]</f>
        <v>1</v>
      </c>
    </row>
    <row r="22" spans="1:7" ht="20.100000000000001" customHeight="1" x14ac:dyDescent="0.25">
      <c r="A22" s="1">
        <v>46218</v>
      </c>
      <c r="B22" s="3">
        <f>IF(A22="","",WEEKNUM(A22)-23)</f>
        <v>6</v>
      </c>
      <c r="C22" s="2" t="s">
        <v>30</v>
      </c>
      <c r="D22" s="2" t="s">
        <v>32</v>
      </c>
      <c r="E22" s="2">
        <v>7</v>
      </c>
      <c r="F22" s="2">
        <v>5</v>
      </c>
      <c r="G22" s="5">
        <f>tbl_QuizScores[[#This Row],[Correct Answers]]/tbl_QuizScores[[#This Row],[Question Count]]</f>
        <v>0.7142857142857143</v>
      </c>
    </row>
    <row r="23" spans="1:7" ht="20.100000000000001" customHeight="1" x14ac:dyDescent="0.25">
      <c r="A23" s="1">
        <v>46219</v>
      </c>
      <c r="B23" s="3">
        <f>IF(A23="","",WEEKNUM(A23)-23)</f>
        <v>6</v>
      </c>
      <c r="C23" s="2" t="s">
        <v>30</v>
      </c>
      <c r="D23" s="2" t="s">
        <v>33</v>
      </c>
      <c r="E23" s="2">
        <v>8</v>
      </c>
      <c r="F23" s="2">
        <v>7</v>
      </c>
      <c r="G23" s="5">
        <f>tbl_QuizScores[[#This Row],[Correct Answers]]/tbl_QuizScores[[#This Row],[Question Count]]</f>
        <v>0.875</v>
      </c>
    </row>
    <row r="24" spans="1:7" ht="20.100000000000001" customHeight="1" x14ac:dyDescent="0.25">
      <c r="A24" s="1">
        <v>46223</v>
      </c>
      <c r="B24" s="3">
        <f>IF(A24="","",WEEKNUM(A24)-23)</f>
        <v>7</v>
      </c>
      <c r="C24" s="2" t="s">
        <v>34</v>
      </c>
      <c r="D24" s="2" t="s">
        <v>35</v>
      </c>
      <c r="E24" s="2">
        <v>7</v>
      </c>
      <c r="F24" s="2">
        <v>7</v>
      </c>
      <c r="G24" s="5">
        <f>tbl_QuizScores[[#This Row],[Correct Answers]]/tbl_QuizScores[[#This Row],[Question Count]]</f>
        <v>1</v>
      </c>
    </row>
    <row r="25" spans="1:7" ht="20.100000000000001" customHeight="1" x14ac:dyDescent="0.25">
      <c r="B25" s="3" t="str">
        <f>IF(A25="","",WEEKNUM(A25)-23)</f>
        <v/>
      </c>
      <c r="G25" s="7"/>
    </row>
  </sheetData>
  <mergeCells count="1">
    <mergeCell ref="K6:L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Grainger</dc:creator>
  <cp:lastModifiedBy>Mark Grainger</cp:lastModifiedBy>
  <dcterms:created xsi:type="dcterms:W3CDTF">2026-06-19T13:33:58Z</dcterms:created>
  <dcterms:modified xsi:type="dcterms:W3CDTF">2026-07-27T18:01:06Z</dcterms:modified>
</cp:coreProperties>
</file>